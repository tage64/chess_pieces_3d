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<sst xmlns="http://schemas.openxmlformats.org/spreadsheetml/2006/main" count="6" uniqueCount="6">
  <si>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G</t>
  </si>
  <si>
    <t xml:space="preserve">X</t>
  </si>
  <si>
    <t xml:space="preserve">Z</t>
  </si>
  <si>
    <t xml:space="preserve">R</t>
  </si>
  <si>
    <t xml:space="preserve">I</t>
  </si>
  <si>
    <t xml:space="preserve">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</si>
</sst>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SANT&quot;;&quot;SANT&quot;;&quot;FALSKT&quot;"/>
  </numFmts>
  <fonts count="16">
    <font>
      <sz val="11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</font>
    <font>
      <sz val="10"/>
      <color rgb="FFFFFFFF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i val="true"/>
      <sz val="10"/>
      <color rgb="FF808080"/>
      <name val="Arial"/>
      <family val="0"/>
    </font>
    <font>
      <sz val="10"/>
      <color rgb="FF006600"/>
      <name val="Arial"/>
      <family val="0"/>
    </font>
    <font>
      <b val="true"/>
      <sz val="24"/>
      <color rgb="FF000000"/>
      <name val="Arial"/>
      <family val="0"/>
    </font>
    <font>
      <sz val="18"/>
      <color rgb="FF000000"/>
      <name val="Arial"/>
      <family val="0"/>
    </font>
    <font>
      <sz val="12"/>
      <color rgb="FF000000"/>
      <name val="Arial"/>
      <family val="0"/>
    </font>
    <font>
      <u val="single"/>
      <sz val="10"/>
      <color rgb="FF0000EE"/>
      <name val="Arial"/>
      <family val="0"/>
    </font>
    <font>
      <sz val="10"/>
      <color rgb="FF996600"/>
      <name val="Arial"/>
      <family val="0"/>
    </font>
    <font>
      <sz val="10"/>
      <color rgb="FF333333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" xfId="20"/>
    <cellStyle name="Accent 1" xfId="21"/>
    <cellStyle name="Accent 2" xfId="22"/>
    <cellStyle name="Accent 3" xfId="23"/>
    <cellStyle name="Bad" xfId="24"/>
    <cellStyle name="Error" xfId="25"/>
    <cellStyle name="Footnote" xfId="26"/>
    <cellStyle name="Good" xfId="27"/>
    <cellStyle name="Heading" xfId="28"/>
    <cellStyle name="Heading 1" xfId="29"/>
    <cellStyle name="Heading 2" xfId="30"/>
    <cellStyle name="Hyperlink" xfId="31"/>
    <cellStyle name="Neutral" xfId="32"/>
    <cellStyle name="Note" xfId="33"/>
    <cellStyle name="Status" xfId="34"/>
    <cellStyle name="Text" xfId="35"/>
    <cellStyle name="Warning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6" activeCellId="0" sqref="C16"/>
    </sheetView>
  </sheetViews>
  <sheetFormatPr defaultRowHeight="14.25" zeroHeight="false" outlineLevelRow="0" outlineLevelCol="0"/>
  <cols>
    <col collapsed="false" customWidth="true" hidden="false" outlineLevel="0" max="7" min="1" style="1" width="10.46"/>
    <col collapsed="false" customWidth="true" hidden="false" outlineLevel="0" max="1025" min="8" style="1" width="8.8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1" t="n">
        <v>0</v>
      </c>
      <c r="B2" s="1" t="n">
        <v>0</v>
      </c>
      <c r="C2" s="1" t="n">
        <v>0</v>
      </c>
    </row>
    <row r="3" customFormat="false" ht="14.25" hidden="false" customHeight="false" outlineLevel="0" collapsed="false">
      <c r="A3" s="1" t="n">
        <v>3</v>
      </c>
      <c r="B3" s="1" t="n">
        <v>2.5</v>
      </c>
      <c r="C3" s="1" t="n">
        <f aca="false">C2 - 2</f>
        <v>-2</v>
      </c>
      <c r="D3" s="1" t="n">
        <f aca="false">((C2 - C3)^2 + B3^2)/(C2 - C3)/2</f>
        <v>2.5625</v>
      </c>
      <c r="E3" s="1" t="n">
        <f aca="false">0</f>
        <v>0</v>
      </c>
      <c r="F3" s="1" t="n">
        <f aca="false">C2 - D3</f>
        <v>-2.5625</v>
      </c>
      <c r="G3" s="2" t="n">
        <f aca="false">(F3 - C3)^2 + (E3 - B3)^2 = D3^2</f>
        <v>1</v>
      </c>
    </row>
    <row r="4" customFormat="false" ht="14.25" hidden="false" customHeight="false" outlineLevel="0" collapsed="false">
      <c r="A4" s="1" t="n">
        <v>1</v>
      </c>
      <c r="B4" s="1" t="n">
        <f aca="false">B3</f>
        <v>2.5</v>
      </c>
      <c r="C4" s="1" t="n">
        <f aca="false">C3 - 1.2</f>
        <v>-3.2</v>
      </c>
    </row>
    <row r="5" customFormat="false" ht="14.25" hidden="false" customHeight="false" outlineLevel="0" collapsed="false">
      <c r="A5" s="1" t="n">
        <v>2</v>
      </c>
      <c r="B5" s="1" t="n">
        <f aca="false">E5 + (E6 - E5)*D5/(D6 + D5)</f>
        <v>2.5</v>
      </c>
      <c r="C5" s="1" t="n">
        <f aca="false">F5 + (F6 - F5)*D5/(D6 + D5)</f>
        <v>-3.2</v>
      </c>
      <c r="D5" s="1" t="n">
        <v>0</v>
      </c>
      <c r="E5" s="1" t="n">
        <f aca="false">B4 + D5</f>
        <v>2.5</v>
      </c>
      <c r="F5" s="1" t="n">
        <f aca="false">C4</f>
        <v>-3.2</v>
      </c>
      <c r="G5" s="2" t="n">
        <f aca="false">(B5 - E6)^2 + (C5 - F6)^2 = D6^2</f>
        <v>1</v>
      </c>
    </row>
    <row r="6" customFormat="false" ht="14.25" hidden="false" customHeight="false" outlineLevel="0" collapsed="false">
      <c r="A6" s="1" t="n">
        <v>3</v>
      </c>
      <c r="B6" s="1" t="n">
        <v>5.2</v>
      </c>
      <c r="C6" s="1" t="n">
        <f aca="false">C4 - K6</f>
        <v>-9.89072989958215</v>
      </c>
      <c r="D6" s="1" t="n">
        <f aca="false">(K6^2+(B6-B4)^2-2*(B6-B4)*D5)/2/(B6-B4)</f>
        <v>9.63997529428936</v>
      </c>
      <c r="E6" s="1" t="n">
        <f aca="false">B6-D6</f>
        <v>-4.43997529428936</v>
      </c>
      <c r="F6" s="1" t="n">
        <f aca="false">C6</f>
        <v>-9.89072989958215</v>
      </c>
      <c r="G6" s="2" t="n">
        <f aca="false">(F5 - F6)^2 + (E5 - E6)^2 = (D6 + D5)^2</f>
        <v>1</v>
      </c>
      <c r="H6" s="1" t="n">
        <f aca="false">1 - (B6 - B7)/(B6 - B4)</f>
        <v>0.333333333333333</v>
      </c>
      <c r="I6" s="1" t="n">
        <f aca="false">-2*(C4 - C7)</f>
        <v>-24.6</v>
      </c>
      <c r="J6" s="1" t="n">
        <f aca="false">2*(B6 - B7)*D5 + (B6 - B7)^2 + (C4 - C7)^2 - (B6 - B4)*(B6 - B7)</f>
        <v>149.67</v>
      </c>
      <c r="K6" s="1" t="n">
        <f aca="false">-(I6 + SQRT(I6^2 - 4*H6*J6))/2/H6</f>
        <v>6.69072989958215</v>
      </c>
    </row>
    <row r="7" customFormat="false" ht="14.25" hidden="false" customHeight="false" outlineLevel="0" collapsed="false">
      <c r="A7" s="1" t="n">
        <v>3</v>
      </c>
      <c r="B7" s="1" t="n">
        <v>3.4</v>
      </c>
      <c r="C7" s="1" t="n">
        <f aca="false">C4 - 12.3</f>
        <v>-15.5</v>
      </c>
      <c r="D7" s="1" t="n">
        <f aca="false">D6</f>
        <v>9.63997529428936</v>
      </c>
      <c r="E7" s="1" t="n">
        <f aca="false">E6</f>
        <v>-4.43997529428936</v>
      </c>
      <c r="F7" s="1" t="n">
        <f aca="false">F6</f>
        <v>-9.89072989958215</v>
      </c>
      <c r="G7" s="2" t="n">
        <f aca="false">(C7 - F6)^2 + (B7 - E6)^2 = D6^2</f>
        <v>1</v>
      </c>
    </row>
    <row r="8" customFormat="false" ht="14.25" hidden="false" customHeight="false" outlineLevel="0" collapsed="false">
      <c r="A8" s="1" t="n">
        <v>1</v>
      </c>
      <c r="B8" s="1" t="n">
        <f aca="false">E9 + D9 * SIN(D8)</f>
        <v>5.15690852799854</v>
      </c>
      <c r="C8" s="1" t="n">
        <f aca="false">F9 + D9*COS(D8)</f>
        <v>-16.1109602476806</v>
      </c>
      <c r="D8" s="1" t="n">
        <f aca="false">ATAN((B7 - E9) / (C7 - F9)) + ACOS(D9 / SQRT((B7 - E9)^2 + (C7 - F9)^2))</f>
        <v>0.334666577543117</v>
      </c>
      <c r="E8" s="1" t="n">
        <f aca="false">DEGREES(D8)</f>
        <v>19.1749824373083</v>
      </c>
    </row>
    <row r="9" customFormat="false" ht="14.25" hidden="false" customHeight="false" outlineLevel="0" collapsed="false">
      <c r="A9" s="1" t="n">
        <v>3</v>
      </c>
      <c r="B9" s="1" t="n">
        <v>6.5</v>
      </c>
      <c r="C9" s="1" t="n">
        <f aca="false">C7-2.5</f>
        <v>-18</v>
      </c>
      <c r="D9" s="1" t="n">
        <v>2</v>
      </c>
      <c r="E9" s="1" t="n">
        <f aca="false">B9-D9</f>
        <v>4.5</v>
      </c>
      <c r="F9" s="1" t="n">
        <f aca="false">C9</f>
        <v>-18</v>
      </c>
    </row>
    <row r="10" customFormat="false" ht="14.25" hidden="false" customHeight="false" outlineLevel="0" collapsed="false">
      <c r="A10" s="1" t="n">
        <v>1</v>
      </c>
      <c r="B10" s="1" t="n">
        <f aca="false">B9</f>
        <v>6.5</v>
      </c>
      <c r="C10" s="1" t="n">
        <f aca="false">C9 - 0</f>
        <v>-18</v>
      </c>
    </row>
    <row r="11" customFormat="false" ht="14.25" hidden="false" customHeight="false" outlineLevel="0" collapsed="false">
      <c r="A11" s="1" t="n">
        <v>3</v>
      </c>
      <c r="B11" s="1" t="n">
        <f aca="false">E11 + (E12 - E11)*D11/(D11 + D12)</f>
        <v>5.9946081297425</v>
      </c>
      <c r="C11" s="1" t="n">
        <f aca="false">F11 + (F12 - F11)*D11/(D11 + D12)</f>
        <v>-19.3289644609649</v>
      </c>
      <c r="D11" s="1" t="n">
        <v>2</v>
      </c>
      <c r="E11" s="1" t="n">
        <f aca="false">B10 - D11</f>
        <v>4.5</v>
      </c>
      <c r="F11" s="1" t="n">
        <f aca="false">C10</f>
        <v>-18</v>
      </c>
    </row>
    <row r="12" customFormat="false" ht="14.25" hidden="false" customHeight="false" outlineLevel="0" collapsed="false">
      <c r="A12" s="1" t="n">
        <v>2</v>
      </c>
      <c r="B12" s="1" t="n">
        <v>4</v>
      </c>
      <c r="C12" s="1" t="n">
        <f aca="false">C10 - K12</f>
        <v>-24.5739307415439</v>
      </c>
      <c r="D12" s="1" t="n">
        <f aca="false">(K12^2 + (B10 - B12)^2 - 2*(B10 - B12)*D11)/2/(B10 - B12)</f>
        <v>7.89331307892328</v>
      </c>
      <c r="E12" s="1" t="n">
        <f aca="false">B12 + D12</f>
        <v>11.8933130789233</v>
      </c>
      <c r="F12" s="1" t="n">
        <f aca="false">C12</f>
        <v>-24.5739307415439</v>
      </c>
      <c r="G12" s="2" t="n">
        <f aca="false">(B11 - E12)^2 + (C11 - F12)^2 = D12^2</f>
        <v>1</v>
      </c>
      <c r="H12" s="1" t="n">
        <f aca="false">1 - (B14 - B12)/(B10 - B12)</f>
        <v>-0.6</v>
      </c>
      <c r="I12" s="1" t="n">
        <f aca="false">-2*(C10 - C14)</f>
        <v>-28</v>
      </c>
      <c r="J12" s="1" t="n">
        <f aca="false">2*(B14 - B12)*D11 + (B14 - B12)^2 + (C10 - C14)^2 - (B10 - B12)*(B14 - B12) - 2*(B14 - B12)*D14</f>
        <v>210</v>
      </c>
      <c r="K12" s="1" t="n">
        <f aca="false">-(I12 + SQRT(I12^2 - 4*H12*J12))/2/H12</f>
        <v>6.57393074154394</v>
      </c>
    </row>
    <row r="13" customFormat="false" ht="14.25" hidden="false" customHeight="false" outlineLevel="0" collapsed="false">
      <c r="A13" s="1" t="n">
        <v>2</v>
      </c>
      <c r="B13" s="1" t="n">
        <f aca="false">E14 + (E13 - E14)*D14/(D14 + D13)</f>
        <v>7.55022386319899</v>
      </c>
      <c r="C13" s="1" t="n">
        <f aca="false">F14 + (F13 - F14)*D14/(D14 + D13)</f>
        <v>-31.1649828143287</v>
      </c>
      <c r="D13" s="1" t="n">
        <f aca="false">D12</f>
        <v>7.89331307892328</v>
      </c>
      <c r="E13" s="1" t="n">
        <f aca="false">E12</f>
        <v>11.8933130789233</v>
      </c>
      <c r="F13" s="1" t="n">
        <f aca="false">F12</f>
        <v>-24.5739307415439</v>
      </c>
      <c r="G13" s="1" t="n">
        <f aca="false">(B13 - E13)^2 + (C13 - F13)^2 - D13^2</f>
        <v>0</v>
      </c>
    </row>
    <row r="14" customFormat="false" ht="14.25" hidden="false" customHeight="false" outlineLevel="0" collapsed="false">
      <c r="A14" s="1" t="n">
        <v>3</v>
      </c>
      <c r="B14" s="1" t="n">
        <v>8</v>
      </c>
      <c r="C14" s="1" t="n">
        <f aca="false">C10-14</f>
        <v>-32</v>
      </c>
      <c r="D14" s="1" t="n">
        <v>1</v>
      </c>
      <c r="E14" s="1" t="n">
        <f aca="false">B14 - D14</f>
        <v>7</v>
      </c>
      <c r="F14" s="1" t="n">
        <f aca="false">C14</f>
        <v>-32</v>
      </c>
    </row>
    <row r="15" customFormat="false" ht="14.25" hidden="false" customHeight="false" outlineLevel="0" collapsed="false">
      <c r="A15" s="1" t="n">
        <v>1</v>
      </c>
      <c r="B15" s="1" t="n">
        <f aca="false">B14</f>
        <v>8</v>
      </c>
      <c r="C15" s="1" t="n">
        <f aca="false">C14-2</f>
        <v>-34</v>
      </c>
    </row>
    <row r="16" customFormat="false" ht="14.25" hidden="false" customHeight="false" outlineLevel="0" collapsed="false">
      <c r="A16" s="1" t="n">
        <v>2</v>
      </c>
      <c r="B16" s="1" t="n">
        <f aca="false">E16 + (E17 - E16)*D16/(D16 + D17)</f>
        <v>8.66666666666667</v>
      </c>
      <c r="C16" s="1" t="n">
        <f aca="false">F16 + (F17 - F16)*D16/(D16 + D17)</f>
        <v>-34.9428090415821</v>
      </c>
      <c r="D16" s="1" t="n">
        <v>1</v>
      </c>
      <c r="E16" s="1" t="n">
        <f aca="false">B15 + D16</f>
        <v>9</v>
      </c>
      <c r="F16" s="1" t="n">
        <f aca="false">C15</f>
        <v>-34</v>
      </c>
    </row>
    <row r="17" customFormat="false" ht="14.25" hidden="false" customHeight="false" outlineLevel="0" collapsed="false">
      <c r="A17" s="1" t="n">
        <v>3</v>
      </c>
      <c r="B17" s="1" t="n">
        <v>10</v>
      </c>
      <c r="C17" s="1" t="n">
        <f aca="false">C15 - SQRT((D16 + D17)^2 - D16^2)</f>
        <v>-36.8284271247462</v>
      </c>
      <c r="D17" s="1" t="n">
        <f aca="false">B17 - B15</f>
        <v>2</v>
      </c>
      <c r="E17" s="1" t="n">
        <f aca="false">B17 - D17</f>
        <v>8</v>
      </c>
      <c r="F17" s="1" t="n">
        <f aca="false">C17</f>
        <v>-36.8284271247462</v>
      </c>
    </row>
    <row r="18" customFormat="false" ht="14.25" hidden="false" customHeight="false" outlineLevel="0" collapsed="false">
      <c r="A18" s="1" t="n">
        <v>1</v>
      </c>
      <c r="B18" s="1" t="n">
        <f aca="false">B17</f>
        <v>10</v>
      </c>
      <c r="C18" s="1" t="n">
        <f aca="false">C15 - 4.5</f>
        <v>-38.5</v>
      </c>
    </row>
  </sheetData>
  <printOptions headings="false" gridLines="false" gridLinesSet="true" horizontalCentered="false" verticalCentered="false"/>
  <pageMargins left="0" right="0" top="0.138888888888889" bottom="0.138888888888889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2018-11-14T20:30:24Z</dcterms:created>
  <dc:creator/>
  <dc:description/>
  <dc:language>sv-SE</dc:language>
  <cp:lastModifiedBy/>
  <cp:lastPrinted>2018-11-17T11:49:52Z</cp:lastPrinted>
  <dcterms:modified xsi:type="dcterms:W3CDTF">2018-11-22T10:41:46Z</dcterms:modified>
  <cp:revision>8</cp:revision>
  <dc:subject/>
  <dc:title/>
</cp:coreProperties>
</file>